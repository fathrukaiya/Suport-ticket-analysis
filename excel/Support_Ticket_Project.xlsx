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xr:revisionPtr revIDLastSave="0" documentId="8_{ABCEF003-9E83-43B8-AC47-FBA07FCA28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pportTicket" sheetId="1" r:id="rId1"/>
    <sheet name="Dashboard" sheetId="3" r:id="rId2"/>
    <sheet name="Pivot_Data" sheetId="4" r:id="rId3"/>
  </sheets>
  <calcPr calcId="191028"/>
  <pivotCaches>
    <pivotCache cacheId="20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<sst xmlns="http://schemas.openxmlformats.org/spreadsheetml/2006/main" count="144" uniqueCount="69">
  <si>
    <t>Ticket_ID</t>
  </si>
  <si>
    <t>Ticket_Date</t>
  </si>
  <si>
    <t>Client</t>
  </si>
  <si>
    <t>Module</t>
  </si>
  <si>
    <t>Priority</t>
  </si>
  <si>
    <t>Status</t>
  </si>
  <si>
    <t>Assigned_To</t>
  </si>
  <si>
    <t>Resolution_Days</t>
  </si>
  <si>
    <t>ABC Ltd</t>
  </si>
  <si>
    <t>Payroll</t>
  </si>
  <si>
    <t>High</t>
  </si>
  <si>
    <t>Open</t>
  </si>
  <si>
    <t>Sara</t>
  </si>
  <si>
    <t>YBD Ltd</t>
  </si>
  <si>
    <t>Leave</t>
  </si>
  <si>
    <t>Medium</t>
  </si>
  <si>
    <t>Closed</t>
  </si>
  <si>
    <t>Aaish</t>
  </si>
  <si>
    <t>NALEEM TREADERS</t>
  </si>
  <si>
    <t>Attendance</t>
  </si>
  <si>
    <t>In Progress</t>
  </si>
  <si>
    <t>Nshran</t>
  </si>
  <si>
    <t>NAVO GROUP</t>
  </si>
  <si>
    <t>Employee Master</t>
  </si>
  <si>
    <t>Shafee</t>
  </si>
  <si>
    <t>SUN HR</t>
  </si>
  <si>
    <t>Recruitment</t>
  </si>
  <si>
    <t>Dilani</t>
  </si>
  <si>
    <t>Global Ltd</t>
  </si>
  <si>
    <t>Onboarding</t>
  </si>
  <si>
    <t>Nimal</t>
  </si>
  <si>
    <t>Clasic Creation</t>
  </si>
  <si>
    <t>Reports</t>
  </si>
  <si>
    <t>Nimsha</t>
  </si>
  <si>
    <t>TSK Ltd</t>
  </si>
  <si>
    <t>Perfotmance</t>
  </si>
  <si>
    <t>Arshd</t>
  </si>
  <si>
    <t>Emit teil</t>
  </si>
  <si>
    <t>Fazriya</t>
  </si>
  <si>
    <t>rolerl treand</t>
  </si>
  <si>
    <t>Zeineb</t>
  </si>
  <si>
    <t>GHJ Ltd</t>
  </si>
  <si>
    <t>Tharushi</t>
  </si>
  <si>
    <t>RTY Ltd</t>
  </si>
  <si>
    <t>Ruth</t>
  </si>
  <si>
    <t>Boing Group</t>
  </si>
  <si>
    <t>Amash</t>
  </si>
  <si>
    <t>Smsung</t>
  </si>
  <si>
    <t>Sajeewa</t>
  </si>
  <si>
    <t>Camaye</t>
  </si>
  <si>
    <t>Frenando</t>
  </si>
  <si>
    <t>Global Tarck</t>
  </si>
  <si>
    <t>Jeny</t>
  </si>
  <si>
    <t>Samuyel Rec</t>
  </si>
  <si>
    <t>Nelon</t>
  </si>
  <si>
    <t>Core Fen</t>
  </si>
  <si>
    <t>Geramy</t>
  </si>
  <si>
    <t>criss Tof</t>
  </si>
  <si>
    <t>hellan</t>
  </si>
  <si>
    <t>Onella</t>
  </si>
  <si>
    <t>Support Ticket Analysis Dashboard</t>
  </si>
  <si>
    <t>Total Tickets</t>
  </si>
  <si>
    <t>Open Tickets</t>
  </si>
  <si>
    <t>Avg Resolution Days</t>
  </si>
  <si>
    <t>Pivot_Module</t>
  </si>
  <si>
    <t>Pivot_Priority</t>
  </si>
  <si>
    <t>Grand Total</t>
  </si>
  <si>
    <t>Average of Resolution_Days</t>
  </si>
  <si>
    <t>Count of 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</si>
</sst>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sz val="2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u/>
      <sz val="22"/>
      <color rgb="FF203764"/>
      <name val="Bookman Old Sty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sz val="18"/>
      </font>
      <alignment horizontal="center" vertical="center" textRotation="0" wrapText="0" indent="0" justifyLastLine="0" shrinkToFit="0" readingOrder="0"/>
    </dxf>
    <dxf>
      <font>
        <sz val="18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[Support_Ticket_Project.xlsx]Pivot_Data!PivotTable1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Tickets by Modul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Pivot_Data!$A$4:$A$12</c:f>
              <c:strCache>
                <c:ptCount val="8"/>
                <c:pt idx="0">
                  <c:v>Attendance</c:v>
                </c:pt>
                <c:pt idx="1">
                  <c:v>Employee Master</c:v>
                </c:pt>
                <c:pt idx="2">
                  <c:v>Leave</c:v>
                </c:pt>
                <c:pt idx="3">
                  <c:v>Onboarding</c:v>
                </c:pt>
                <c:pt idx="4">
                  <c:v>Payroll</c:v>
                </c:pt>
                <c:pt idx="5">
                  <c:v>Perfotmance</c:v>
                </c:pt>
                <c:pt idx="6">
                  <c:v>Recruitment</c:v>
                </c:pt>
                <c:pt idx="7">
                  <c:v>Reports</c:v>
                </c:pt>
              </c:strCache>
            </c:strRef>
          </c:cat>
          <c:val>
            <c:numRef>
              <c:f>Pivot_Data!$B$4:$B$12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3-4E90-BAEF-ECD000C8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44520"/>
        <c:axId val="788550664"/>
      </c:barChart>
      <c:catAx>
        <c:axId val="78854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50664"/>
        <c:crosses val="autoZero"/>
        <c:auto val="1"/>
        <c:lblAlgn val="ctr"/>
        <c:lblOffset val="100"/>
        <c:noMultiLvlLbl val="0"/>
      </c:catAx>
      <c:valAx>
        <c:axId val="7885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4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[Support_Ticket_Project.xlsx]Pivot_Data!PivotTable3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Priority</a:t>
            </a:r>
          </a:p>
        </c:rich>
      </c:tx>
      <c:layout>
        <c:manualLayout>
          <c:xMode val="edge"/>
          <c:yMode val="edge"/>
          <c:x val="0.37453855305123901"/>
          <c:y val="2.4780236845679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Pivot_Data!$E$7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4-4B3B-B207-2755FDE44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A4-4B3B-B207-2755FDE444E9}"/>
              </c:ext>
            </c:extLst>
          </c:dPt>
          <c:cat>
            <c:strRef>
              <c:f>Pivot_Data!$D$8:$D$10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Pivot_Data!$E$8:$E$10</c:f>
              <c:numCache>
                <c:formatCode>General</c:formatCode>
                <c:ptCount val="2"/>
                <c:pt idx="0">
                  <c:v>10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7-4296-9B7F-054D707C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[Support_Ticket_Project.xlsx]Pivot_Data!PivotTable2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Pivot_Data!$E$14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Pivot_Data!$D$15:$D$18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Pivot_Data!$E$15:$E$18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1-4A6F-8CA8-0D738FC8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8599304"/>
        <c:axId val="788601352"/>
      </c:barChart>
      <c:catAx>
        <c:axId val="788599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01352"/>
        <c:crosses val="autoZero"/>
        <c:auto val="1"/>
        <c:lblAlgn val="ctr"/>
        <c:lblOffset val="100"/>
        <c:noMultiLvlLbl val="0"/>
      </c:catAx>
      <c:valAx>
        <c:axId val="78860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9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[Support_Ticket_Project.xlsx]Pivot_Data!PivotTable4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Resolution Days by Module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Pivot_Data!$B$14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Pivot_Data!$A$15:$A$23</c:f>
              <c:strCache>
                <c:ptCount val="8"/>
                <c:pt idx="0">
                  <c:v>Attendance</c:v>
                </c:pt>
                <c:pt idx="1">
                  <c:v>Employee Master</c:v>
                </c:pt>
                <c:pt idx="2">
                  <c:v>Leave</c:v>
                </c:pt>
                <c:pt idx="3">
                  <c:v>Onboarding</c:v>
                </c:pt>
                <c:pt idx="4">
                  <c:v>Payroll</c:v>
                </c:pt>
                <c:pt idx="5">
                  <c:v>Perfotmance</c:v>
                </c:pt>
                <c:pt idx="6">
                  <c:v>Recruitment</c:v>
                </c:pt>
                <c:pt idx="7">
                  <c:v>Reports</c:v>
                </c:pt>
              </c:strCache>
            </c:strRef>
          </c:cat>
          <c:val>
            <c:numRef>
              <c:f>Pivot_Data!$B$15:$B$23</c:f>
              <c:numCache>
                <c:formatCode>General</c:formatCode>
                <c:ptCount val="8"/>
                <c:pt idx="0">
                  <c:v>5.666666666666667</c:v>
                </c:pt>
                <c:pt idx="1">
                  <c:v>3.5</c:v>
                </c:pt>
                <c:pt idx="2">
                  <c:v>4</c:v>
                </c:pt>
                <c:pt idx="3">
                  <c:v>7.5</c:v>
                </c:pt>
                <c:pt idx="4">
                  <c:v>4.333333333333333</c:v>
                </c:pt>
                <c:pt idx="5">
                  <c:v>1</c:v>
                </c:pt>
                <c:pt idx="6">
                  <c:v>4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4-4F58-B602-9238DE12E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642760"/>
        <c:axId val="581650440"/>
      </c:barChart>
      <c:catAx>
        <c:axId val="58164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50440"/>
        <c:crosses val="autoZero"/>
        <c:auto val="1"/>
        <c:lblAlgn val="ctr"/>
        <c:lblOffset val="100"/>
        <c:noMultiLvlLbl val="0"/>
      </c:catAx>
      <c:valAx>
        <c:axId val="581650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4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828675</xdr:colOff>
      <xdr:row>2</xdr:row>
      <xdr:rowOff>104775</xdr:rowOff>
    </xdr:from>
    <xdr:to>
      <xdr:col>7</xdr:col>
      <xdr:colOff>2466975</xdr:colOff>
      <xdr:row>12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14BA2-B241-861C-2BB2-687E7F762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2581275</xdr:colOff>
      <xdr:row>2</xdr:row>
      <xdr:rowOff>66675</xdr:rowOff>
    </xdr:from>
    <xdr:to>
      <xdr:col>10</xdr:col>
      <xdr:colOff>57150</xdr:colOff>
      <xdr:row>12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38C795-BEE8-8C13-4B4A-C7789146EC7F}"/>
            </a:ext>
            <a:ext uri="{147F2762-F138-4A5C-976F-8EAC2B608ADB}">
              <a16:predDERef xmlns:a16="http://schemas.microsoft.com/office/drawing/2014/main" pred="{6F614BA2-B241-861C-2BB2-687E7F762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866775</xdr:colOff>
      <xdr:row>13</xdr:row>
      <xdr:rowOff>57150</xdr:rowOff>
    </xdr:from>
    <xdr:to>
      <xdr:col>7</xdr:col>
      <xdr:colOff>2533650</xdr:colOff>
      <xdr:row>26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821B1F-158F-875D-C4FA-6532B54C65EE}"/>
            </a:ext>
            <a:ext uri="{147F2762-F138-4A5C-976F-8EAC2B608ADB}">
              <a16:predDERef xmlns:a16="http://schemas.microsoft.com/office/drawing/2014/main" pred="{5338C795-BEE8-8C13-4B4A-C7789146E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2667000</xdr:colOff>
      <xdr:row>13</xdr:row>
      <xdr:rowOff>38100</xdr:rowOff>
    </xdr:from>
    <xdr:to>
      <xdr:col>10</xdr:col>
      <xdr:colOff>171450</xdr:colOff>
      <xdr:row>26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A2EB3A-7E11-BD62-693E-074F89A994BC}"/>
            </a:ext>
            <a:ext uri="{147F2762-F138-4A5C-976F-8EAC2B608ADB}">
              <a16:predDERef xmlns:a16="http://schemas.microsoft.com/office/drawing/2014/main" pred="{F3821B1F-158F-875D-C4FA-6532B54C6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44832152778" createdVersion="8" refreshedVersion="8" minRefreshableVersion="3" recordCount="20" xr:uid="{996FE0B2-2DA5-4B0E-9592-D00C5B925769}">
  <cacheSource type="worksheet">
    <worksheetSource name="Table1"/>
  </cacheSource>
  <cacheFields count="8">
    <cacheField name="Ticket_ID" numFmtId="0">
      <sharedItems containsString="0" containsBlank="1" containsNumber="1" containsInteger="1" minValue="1001" maxValue="1020"/>
    </cacheField>
    <cacheField name="Ticket_Date" numFmtId="0">
      <sharedItems containsBlank="1" count="20">
        <s v="2026--03-01"/>
        <s v="2026--03-02"/>
        <s v="2026--03-03"/>
        <s v="2026--03-04"/>
        <s v="2026--03-05"/>
        <s v="2026--03-06"/>
        <s v="2026--03-07"/>
        <s v="2026--03-08"/>
        <s v="2026--03-09"/>
        <s v="2026--03-10"/>
        <s v="2026--03-11"/>
        <s v="2026--03-12"/>
        <s v="2026--03-13"/>
        <s v="2026--03-14"/>
        <s v="2026--03-15"/>
        <s v="2026--03-16"/>
        <s v="2026--03-17"/>
        <s v="2026--03-18"/>
        <s v="2026--03-19"/>
        <m/>
      </sharedItems>
    </cacheField>
    <cacheField name="Client" numFmtId="0">
      <sharedItems containsBlank="1"/>
    </cacheField>
    <cacheField name="Module" numFmtId="0">
      <sharedItems count="8">
        <s v="Payroll"/>
        <s v="Leave"/>
        <s v="Attendance"/>
        <s v="Employee Master"/>
        <s v="Recruitment"/>
        <s v="Onboarding"/>
        <s v="Reports"/>
        <s v="Perfotmance"/>
      </sharedItems>
    </cacheField>
    <cacheField name="Priority" numFmtId="0">
      <sharedItems count="2">
        <s v="High"/>
        <s v="Medium"/>
      </sharedItems>
    </cacheField>
    <cacheField name="Status" numFmtId="0">
      <sharedItems count="3">
        <s v="Open"/>
        <s v="Closed"/>
        <s v="In Progress"/>
      </sharedItems>
    </cacheField>
    <cacheField name="Assigned_To" numFmtId="0">
      <sharedItems/>
    </cacheField>
    <cacheField name="Resolution_Day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s v="ABC Ltd"/>
    <x v="0"/>
    <x v="0"/>
    <x v="0"/>
    <s v="Sara"/>
    <n v="5"/>
  </r>
  <r>
    <n v="1002"/>
    <x v="1"/>
    <s v="YBD Ltd"/>
    <x v="1"/>
    <x v="1"/>
    <x v="1"/>
    <s v="Aaish"/>
    <n v="2"/>
  </r>
  <r>
    <n v="1003"/>
    <x v="2"/>
    <s v="NALEEM TREADERS"/>
    <x v="2"/>
    <x v="0"/>
    <x v="2"/>
    <s v="Nshran"/>
    <n v="7"/>
  </r>
  <r>
    <n v="1004"/>
    <x v="3"/>
    <s v="NAVO GROUP"/>
    <x v="3"/>
    <x v="1"/>
    <x v="1"/>
    <s v="Shafee"/>
    <n v="1"/>
  </r>
  <r>
    <n v="1005"/>
    <x v="4"/>
    <s v="SUN HR"/>
    <x v="4"/>
    <x v="0"/>
    <x v="0"/>
    <s v="Dilani"/>
    <n v="4"/>
  </r>
  <r>
    <n v="1006"/>
    <x v="5"/>
    <s v="Global Ltd"/>
    <x v="5"/>
    <x v="1"/>
    <x v="1"/>
    <s v="Nimal"/>
    <n v="6"/>
  </r>
  <r>
    <n v="1007"/>
    <x v="6"/>
    <s v="Clasic Creation"/>
    <x v="6"/>
    <x v="0"/>
    <x v="2"/>
    <s v="Nimsha"/>
    <n v="3"/>
  </r>
  <r>
    <n v="1008"/>
    <x v="7"/>
    <s v="TSK Ltd"/>
    <x v="7"/>
    <x v="1"/>
    <x v="1"/>
    <s v="Arshd"/>
    <n v="1"/>
  </r>
  <r>
    <n v="1009"/>
    <x v="8"/>
    <s v="Emit teil"/>
    <x v="0"/>
    <x v="0"/>
    <x v="0"/>
    <s v="Fazriya"/>
    <n v="3"/>
  </r>
  <r>
    <n v="1010"/>
    <x v="9"/>
    <s v="rolerl treand"/>
    <x v="2"/>
    <x v="1"/>
    <x v="1"/>
    <s v="Zeineb"/>
    <n v="7"/>
  </r>
  <r>
    <n v="1012"/>
    <x v="10"/>
    <s v="GHJ Ltd"/>
    <x v="5"/>
    <x v="0"/>
    <x v="2"/>
    <s v="Tharushi"/>
    <n v="9"/>
  </r>
  <r>
    <n v="1013"/>
    <x v="11"/>
    <s v="RTY Ltd"/>
    <x v="3"/>
    <x v="1"/>
    <x v="2"/>
    <s v="Ruth"/>
    <n v="6"/>
  </r>
  <r>
    <n v="1014"/>
    <x v="12"/>
    <s v="Boing Group"/>
    <x v="1"/>
    <x v="0"/>
    <x v="1"/>
    <s v="Amash"/>
    <n v="3"/>
  </r>
  <r>
    <n v="1015"/>
    <x v="13"/>
    <s v="Smsung"/>
    <x v="4"/>
    <x v="0"/>
    <x v="0"/>
    <s v="Sajeewa"/>
    <n v="1"/>
  </r>
  <r>
    <n v="1016"/>
    <x v="14"/>
    <s v="Camaye"/>
    <x v="2"/>
    <x v="1"/>
    <x v="2"/>
    <s v="Frenando"/>
    <n v="3"/>
  </r>
  <r>
    <n v="1017"/>
    <x v="15"/>
    <s v="Global Tarck"/>
    <x v="6"/>
    <x v="0"/>
    <x v="0"/>
    <s v="Jeny"/>
    <n v="4"/>
  </r>
  <r>
    <n v="1018"/>
    <x v="16"/>
    <s v="Samuyel Rec"/>
    <x v="0"/>
    <x v="1"/>
    <x v="0"/>
    <s v="Nelon"/>
    <n v="5"/>
  </r>
  <r>
    <n v="1019"/>
    <x v="17"/>
    <s v="Core Fen"/>
    <x v="4"/>
    <x v="0"/>
    <x v="1"/>
    <s v="Geramy"/>
    <n v="6"/>
  </r>
  <r>
    <n v="1020"/>
    <x v="18"/>
    <s v="criss Tof"/>
    <x v="4"/>
    <x v="1"/>
    <x v="2"/>
    <s v="hellan"/>
    <n v="5"/>
  </r>
  <r>
    <m/>
    <x v="19"/>
    <m/>
    <x v="1"/>
    <x v="1"/>
    <x v="0"/>
    <s v="Onella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B6BA0-49B1-4506-B5EE-B5D4909F438E}" name="PivotTable3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7:E10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Pivot_Priority" fld="0" subtotal="count" baseField="0" baseItem="0"/>
  </dataFields>
  <chartFormats count="9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38B00-D500-4F66-9EA0-EFD989C4945D}" name="PivotTable1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2" firstHeaderRow="1" firstDataRow="1" firstDataCol="1"/>
  <pivotFields count="8">
    <pivotField dataField="1" compact="0" outline="0" showAll="0"/>
    <pivotField compact="0" outline="0" showAll="0"/>
    <pivotField compact="0" outline="0" showAll="0"/>
    <pivotField axis="axisRow" compact="0" outline="0" showAll="0">
      <items count="9">
        <item x="2"/>
        <item x="3"/>
        <item x="1"/>
        <item x="5"/>
        <item x="0"/>
        <item x="7"/>
        <item x="4"/>
        <item x="6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ivot_Module" fld="0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F4A69-4917-4A7C-8464-2648DAC13FA9}" name="PivotTable2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4:E18" firstHeaderRow="1" firstDataRow="1" firstDataCol="1"/>
  <pivotFields count="8">
    <pivotField dataField="1" compact="0" outline="0" showAll="0"/>
    <pivotField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6917B-4F9D-4F00-843C-5A3EEB98C3D0}" name="PivotTable4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4:B23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3"/>
        <item x="1"/>
        <item x="5"/>
        <item x="0"/>
        <item x="7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Resolution_Days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0CF41-CE80-452C-9FA9-D4F3A7499651}" name="Table1" displayName="Table1" ref="A1:H21" totalsRowShown="0" headerRowDxfId="6">
  <autoFilter ref="A1:H21" xr:uid="{DAF0CF41-CE80-452C-9FA9-D4F3A7499651}"/>
  <tableColumns count="8">
    <tableColumn id="1" xr3:uid="{D88780E8-03F8-47BF-AFBD-2C34F54DD014}" name="Ticket_ID"/>
    <tableColumn id="2" xr3:uid="{DB3CB125-3C22-4903-8E19-184C75FF54FA}" name="Ticket_Date"/>
    <tableColumn id="3" xr3:uid="{FFB4161F-E9EC-4B58-80E3-F046E04AF5E0}" name="Client"/>
    <tableColumn id="4" xr3:uid="{43B6FFFB-EFA3-486F-BF2B-52EFB5F1AE0A}" name="Module" dataDxfId="5"/>
    <tableColumn id="5" xr3:uid="{A2E67E4D-9A42-46DE-8497-EEFB7B4D5292}" name="Priority"/>
    <tableColumn id="6" xr3:uid="{265B528B-146E-4344-9B19-40E93971EF77}" name="Status"/>
    <tableColumn id="7" xr3:uid="{1F9A7AFC-40C8-415E-B400-325DFD592079}" name="Assigned_To"/>
    <tableColumn id="8" xr3:uid="{C83DC7F0-3CC3-4443-87E6-9554DA9000A6}" name="Resolution_Day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CF9012-610D-4D63-B8E5-A7A4CA306F37}" name="Table2" displayName="Table2" ref="L1:M2" totalsRowShown="0">
  <autoFilter ref="L1:M2" xr:uid="{54CF9012-610D-4D63-B8E5-A7A4CA306F37}">
    <filterColumn colId="0" hiddenButton="1"/>
    <filterColumn colId="1" hiddenButton="1"/>
  </autoFilter>
  <tableColumns count="2">
    <tableColumn id="1" xr3:uid="{8760065F-5D46-420E-A829-AA5EC937E0CC}" name="Open Tickets" dataDxfId="4"/>
    <tableColumn id="2" xr3:uid="{04B8ACC2-67A2-4151-B801-67B1861EF7E8}" name="Avg Resolution Days" dataDxfId="3"/>
  </tableColumns>
  <tableStyleInfo name="TableStyleLight1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1388EB-F319-4702-9DF4-31FCD6A08468}" name="Table3" displayName="Table3" ref="K1:K2" totalsRowShown="0" headerRowDxfId="2" dataDxfId="1">
  <autoFilter ref="K1:K2" xr:uid="{8A1388EB-F319-4702-9DF4-31FCD6A08468}">
    <filterColumn colId="0" hiddenButton="1"/>
  </autoFilter>
  <tableColumns count="1">
    <tableColumn id="1" xr3:uid="{9A839870-4ACC-4BCE-B600-418B2093E534}" name="Total Ticket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2" sqref="B2:B20"/>
    </sheetView>
  </sheetViews>
  <sheetFormatPr defaultRowHeight="15"/>
  <cols>
    <col min="1" max="1" width="11.42578125" bestFit="1" customWidth="1"/>
    <col min="2" max="2" width="13.7109375" bestFit="1" customWidth="1"/>
    <col min="3" max="3" width="17.85546875" bestFit="1" customWidth="1"/>
    <col min="4" max="4" width="16.140625" bestFit="1" customWidth="1"/>
    <col min="5" max="5" width="9.7109375" bestFit="1" customWidth="1"/>
    <col min="6" max="6" width="10.42578125" bestFit="1" customWidth="1"/>
    <col min="7" max="7" width="14.28515625" bestFit="1" customWidth="1"/>
    <col min="8" max="8" width="18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13">
        <v>46082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5</v>
      </c>
    </row>
    <row r="3" spans="1:8">
      <c r="A3">
        <v>1002</v>
      </c>
      <c r="B3" s="13">
        <v>46083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2</v>
      </c>
    </row>
    <row r="4" spans="1:8">
      <c r="A4">
        <v>1003</v>
      </c>
      <c r="B4" s="13">
        <v>46084</v>
      </c>
      <c r="C4" t="s">
        <v>18</v>
      </c>
      <c r="D4" t="s">
        <v>19</v>
      </c>
      <c r="E4" t="s">
        <v>10</v>
      </c>
      <c r="F4" t="s">
        <v>20</v>
      </c>
      <c r="G4" t="s">
        <v>21</v>
      </c>
      <c r="H4">
        <v>7</v>
      </c>
    </row>
    <row r="5" spans="1:8">
      <c r="A5">
        <v>1004</v>
      </c>
      <c r="B5" s="13">
        <v>46085</v>
      </c>
      <c r="C5" t="s">
        <v>22</v>
      </c>
      <c r="D5" t="s">
        <v>23</v>
      </c>
      <c r="E5" t="s">
        <v>15</v>
      </c>
      <c r="F5" t="s">
        <v>16</v>
      </c>
      <c r="G5" t="s">
        <v>24</v>
      </c>
      <c r="H5">
        <v>1</v>
      </c>
    </row>
    <row r="6" spans="1:8">
      <c r="A6">
        <v>1005</v>
      </c>
      <c r="B6" s="13">
        <v>46086</v>
      </c>
      <c r="C6" t="s">
        <v>25</v>
      </c>
      <c r="D6" t="s">
        <v>26</v>
      </c>
      <c r="E6" t="s">
        <v>10</v>
      </c>
      <c r="F6" t="s">
        <v>11</v>
      </c>
      <c r="G6" t="s">
        <v>27</v>
      </c>
      <c r="H6">
        <v>4</v>
      </c>
    </row>
    <row r="7" spans="1:8">
      <c r="A7">
        <v>1006</v>
      </c>
      <c r="B7" s="13">
        <v>46087</v>
      </c>
      <c r="C7" t="s">
        <v>28</v>
      </c>
      <c r="D7" t="s">
        <v>29</v>
      </c>
      <c r="E7" t="s">
        <v>15</v>
      </c>
      <c r="F7" t="s">
        <v>16</v>
      </c>
      <c r="G7" t="s">
        <v>30</v>
      </c>
      <c r="H7">
        <v>6</v>
      </c>
    </row>
    <row r="8" spans="1:8">
      <c r="A8">
        <v>1007</v>
      </c>
      <c r="B8" s="13">
        <v>46088</v>
      </c>
      <c r="C8" t="s">
        <v>31</v>
      </c>
      <c r="D8" t="s">
        <v>32</v>
      </c>
      <c r="E8" t="s">
        <v>10</v>
      </c>
      <c r="F8" t="s">
        <v>20</v>
      </c>
      <c r="G8" t="s">
        <v>33</v>
      </c>
      <c r="H8">
        <v>3</v>
      </c>
    </row>
    <row r="9" spans="1:8">
      <c r="A9">
        <v>1008</v>
      </c>
      <c r="B9" s="13">
        <v>46089</v>
      </c>
      <c r="C9" t="s">
        <v>34</v>
      </c>
      <c r="D9" t="s">
        <v>35</v>
      </c>
      <c r="E9" t="s">
        <v>15</v>
      </c>
      <c r="F9" t="s">
        <v>16</v>
      </c>
      <c r="G9" t="s">
        <v>36</v>
      </c>
      <c r="H9">
        <v>1</v>
      </c>
    </row>
    <row r="10" spans="1:8">
      <c r="A10">
        <v>1009</v>
      </c>
      <c r="B10" s="13">
        <v>46090</v>
      </c>
      <c r="C10" t="s">
        <v>37</v>
      </c>
      <c r="D10" s="2" t="s">
        <v>9</v>
      </c>
      <c r="E10" t="s">
        <v>10</v>
      </c>
      <c r="F10" t="s">
        <v>11</v>
      </c>
      <c r="G10" t="s">
        <v>38</v>
      </c>
      <c r="H10">
        <v>3</v>
      </c>
    </row>
    <row r="11" spans="1:8">
      <c r="A11">
        <v>1010</v>
      </c>
      <c r="B11" s="13">
        <v>46091</v>
      </c>
      <c r="C11" t="s">
        <v>39</v>
      </c>
      <c r="D11" t="s">
        <v>19</v>
      </c>
      <c r="E11" t="s">
        <v>15</v>
      </c>
      <c r="F11" t="s">
        <v>16</v>
      </c>
      <c r="G11" t="s">
        <v>40</v>
      </c>
      <c r="H11">
        <v>7</v>
      </c>
    </row>
    <row r="12" spans="1:8">
      <c r="A12">
        <v>1012</v>
      </c>
      <c r="B12" s="13">
        <v>46092</v>
      </c>
      <c r="C12" t="s">
        <v>41</v>
      </c>
      <c r="D12" t="s">
        <v>29</v>
      </c>
      <c r="E12" t="s">
        <v>10</v>
      </c>
      <c r="F12" t="s">
        <v>20</v>
      </c>
      <c r="G12" t="s">
        <v>42</v>
      </c>
      <c r="H12">
        <v>9</v>
      </c>
    </row>
    <row r="13" spans="1:8">
      <c r="A13">
        <v>1013</v>
      </c>
      <c r="B13" s="13">
        <v>46093</v>
      </c>
      <c r="C13" t="s">
        <v>43</v>
      </c>
      <c r="D13" t="s">
        <v>23</v>
      </c>
      <c r="E13" t="s">
        <v>15</v>
      </c>
      <c r="F13" t="s">
        <v>20</v>
      </c>
      <c r="G13" t="s">
        <v>44</v>
      </c>
      <c r="H13">
        <v>6</v>
      </c>
    </row>
    <row r="14" spans="1:8">
      <c r="A14">
        <v>1014</v>
      </c>
      <c r="B14" s="13">
        <v>46094</v>
      </c>
      <c r="C14" t="s">
        <v>45</v>
      </c>
      <c r="D14" s="2" t="s">
        <v>14</v>
      </c>
      <c r="E14" t="s">
        <v>10</v>
      </c>
      <c r="F14" t="s">
        <v>16</v>
      </c>
      <c r="G14" t="s">
        <v>46</v>
      </c>
      <c r="H14">
        <v>3</v>
      </c>
    </row>
    <row r="15" spans="1:8">
      <c r="A15">
        <v>1015</v>
      </c>
      <c r="B15" s="13">
        <v>46095</v>
      </c>
      <c r="C15" t="s">
        <v>47</v>
      </c>
      <c r="D15" t="s">
        <v>26</v>
      </c>
      <c r="E15" t="s">
        <v>10</v>
      </c>
      <c r="F15" t="s">
        <v>11</v>
      </c>
      <c r="G15" t="s">
        <v>48</v>
      </c>
      <c r="H15">
        <v>1</v>
      </c>
    </row>
    <row r="16" spans="1:8">
      <c r="A16">
        <v>1016</v>
      </c>
      <c r="B16" s="13">
        <v>46096</v>
      </c>
      <c r="C16" t="s">
        <v>49</v>
      </c>
      <c r="D16" t="s">
        <v>19</v>
      </c>
      <c r="E16" t="s">
        <v>15</v>
      </c>
      <c r="F16" t="s">
        <v>20</v>
      </c>
      <c r="G16" t="s">
        <v>50</v>
      </c>
      <c r="H16">
        <v>3</v>
      </c>
    </row>
    <row r="17" spans="1:8">
      <c r="A17">
        <v>1017</v>
      </c>
      <c r="B17" s="13">
        <v>46097</v>
      </c>
      <c r="C17" t="s">
        <v>51</v>
      </c>
      <c r="D17" t="s">
        <v>32</v>
      </c>
      <c r="E17" t="s">
        <v>10</v>
      </c>
      <c r="F17" t="s">
        <v>11</v>
      </c>
      <c r="G17" t="s">
        <v>52</v>
      </c>
      <c r="H17">
        <v>4</v>
      </c>
    </row>
    <row r="18" spans="1:8">
      <c r="A18">
        <v>1018</v>
      </c>
      <c r="B18" s="13">
        <v>46098</v>
      </c>
      <c r="C18" t="s">
        <v>53</v>
      </c>
      <c r="D18" s="2" t="s">
        <v>9</v>
      </c>
      <c r="E18" t="s">
        <v>15</v>
      </c>
      <c r="F18" t="s">
        <v>11</v>
      </c>
      <c r="G18" t="s">
        <v>54</v>
      </c>
      <c r="H18">
        <v>5</v>
      </c>
    </row>
    <row r="19" spans="1:8">
      <c r="A19">
        <v>1019</v>
      </c>
      <c r="B19" s="13">
        <v>46099</v>
      </c>
      <c r="C19" t="s">
        <v>55</v>
      </c>
      <c r="D19" t="s">
        <v>26</v>
      </c>
      <c r="E19" t="s">
        <v>10</v>
      </c>
      <c r="F19" t="s">
        <v>16</v>
      </c>
      <c r="G19" t="s">
        <v>56</v>
      </c>
      <c r="H19">
        <v>6</v>
      </c>
    </row>
    <row r="20" spans="1:8">
      <c r="A20">
        <v>1020</v>
      </c>
      <c r="B20" s="13">
        <v>46100</v>
      </c>
      <c r="C20" t="s">
        <v>57</v>
      </c>
      <c r="D20" s="2" t="s">
        <v>26</v>
      </c>
      <c r="E20" t="s">
        <v>15</v>
      </c>
      <c r="F20" t="s">
        <v>20</v>
      </c>
      <c r="G20" t="s">
        <v>58</v>
      </c>
      <c r="H20">
        <v>5</v>
      </c>
    </row>
    <row r="21" spans="1:8">
      <c r="D21" s="2" t="s">
        <v>14</v>
      </c>
      <c r="E21" t="s">
        <v>15</v>
      </c>
      <c r="F21" t="s">
        <v>11</v>
      </c>
      <c r="G21" t="s">
        <v>59</v>
      </c>
      <c r="H2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52E9-2335-4160-A808-1F35F28CA76D}">
  <dimension ref="H1:O11"/>
  <sheetViews>
    <sheetView topLeftCell="C1" workbookViewId="0">
      <selection activeCell="N20" sqref="N20"/>
    </sheetView>
  </sheetViews>
  <sheetFormatPr defaultRowHeight="15"/>
  <cols>
    <col min="1" max="1" width="16.140625" bestFit="1" customWidth="1"/>
    <col min="2" max="2" width="13.42578125" bestFit="1" customWidth="1"/>
    <col min="4" max="4" width="16.140625" bestFit="1" customWidth="1"/>
    <col min="5" max="5" width="25.85546875" bestFit="1" customWidth="1"/>
    <col min="6" max="6" width="15.85546875" bestFit="1" customWidth="1"/>
    <col min="7" max="7" width="14.7109375" bestFit="1" customWidth="1"/>
    <col min="8" max="8" width="75.5703125" customWidth="1"/>
    <col min="9" max="9" width="21.42578125" bestFit="1" customWidth="1"/>
    <col min="10" max="10" width="21.85546875" bestFit="1" customWidth="1"/>
    <col min="11" max="11" width="24.85546875" bestFit="1" customWidth="1"/>
    <col min="12" max="12" width="25.140625" customWidth="1"/>
    <col min="13" max="13" width="30.5703125" customWidth="1"/>
    <col min="14" max="14" width="37.140625" customWidth="1"/>
  </cols>
  <sheetData>
    <row r="1" spans="8:15" ht="54">
      <c r="H1" s="12" t="s">
        <v>60</v>
      </c>
      <c r="K1" s="11" t="s">
        <v>61</v>
      </c>
      <c r="L1" s="11" t="s">
        <v>62</v>
      </c>
      <c r="M1" s="11" t="s">
        <v>63</v>
      </c>
    </row>
    <row r="2" spans="8:15" ht="26.25">
      <c r="H2" s="6"/>
      <c r="K2" s="10">
        <v>19</v>
      </c>
      <c r="L2" s="10">
        <v>6</v>
      </c>
      <c r="M2" s="10">
        <v>4.4000000000000004</v>
      </c>
      <c r="O2" s="9"/>
    </row>
    <row r="3" spans="8:15" ht="28.5">
      <c r="H3" s="8"/>
      <c r="I3" s="7"/>
      <c r="J3" s="7"/>
      <c r="K3" s="7"/>
    </row>
    <row r="4" spans="8:15" ht="29.25" customHeight="1">
      <c r="H4" s="7"/>
    </row>
    <row r="5" spans="8:15" ht="27.75" customHeight="1">
      <c r="H5" s="7"/>
    </row>
    <row r="11" spans="8:15" ht="26.25">
      <c r="H11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CBBB-841A-44E7-9810-7B7D20981D74}">
  <dimension ref="A3:E23"/>
  <sheetViews>
    <sheetView workbookViewId="0">
      <selection activeCell="E15" sqref="E15"/>
    </sheetView>
  </sheetViews>
  <sheetFormatPr defaultRowHeight="15"/>
  <cols>
    <col min="1" max="1" width="12.28515625" customWidth="1"/>
    <col min="2" max="2" width="29.5703125" customWidth="1"/>
    <col min="4" max="4" width="11.42578125" customWidth="1"/>
    <col min="5" max="5" width="17.28515625" customWidth="1"/>
  </cols>
  <sheetData>
    <row r="3" spans="1:5">
      <c r="A3" s="3" t="s">
        <v>3</v>
      </c>
      <c r="B3" t="s">
        <v>64</v>
      </c>
    </row>
    <row r="4" spans="1:5">
      <c r="A4" t="s">
        <v>19</v>
      </c>
      <c r="B4" s="4">
        <v>3</v>
      </c>
    </row>
    <row r="5" spans="1:5">
      <c r="A5" t="s">
        <v>23</v>
      </c>
      <c r="B5" s="4">
        <v>2</v>
      </c>
    </row>
    <row r="6" spans="1:5">
      <c r="A6" t="s">
        <v>14</v>
      </c>
      <c r="B6" s="4">
        <v>2</v>
      </c>
    </row>
    <row r="7" spans="1:5">
      <c r="A7" t="s">
        <v>29</v>
      </c>
      <c r="B7" s="4">
        <v>2</v>
      </c>
      <c r="D7" s="3" t="s">
        <v>4</v>
      </c>
      <c r="E7" t="s">
        <v>65</v>
      </c>
    </row>
    <row r="8" spans="1:5">
      <c r="A8" t="s">
        <v>9</v>
      </c>
      <c r="B8" s="4">
        <v>3</v>
      </c>
      <c r="D8" t="s">
        <v>10</v>
      </c>
      <c r="E8" s="4">
        <v>10</v>
      </c>
    </row>
    <row r="9" spans="1:5">
      <c r="A9" t="s">
        <v>35</v>
      </c>
      <c r="B9" s="4">
        <v>1</v>
      </c>
      <c r="D9" t="s">
        <v>15</v>
      </c>
      <c r="E9" s="4">
        <v>9</v>
      </c>
    </row>
    <row r="10" spans="1:5">
      <c r="A10" t="s">
        <v>26</v>
      </c>
      <c r="B10" s="4">
        <v>4</v>
      </c>
      <c r="D10" t="s">
        <v>66</v>
      </c>
      <c r="E10" s="4">
        <v>19</v>
      </c>
    </row>
    <row r="11" spans="1:5">
      <c r="A11" t="s">
        <v>32</v>
      </c>
      <c r="B11" s="4">
        <v>2</v>
      </c>
    </row>
    <row r="12" spans="1:5">
      <c r="A12" t="s">
        <v>66</v>
      </c>
      <c r="B12" s="4">
        <v>19</v>
      </c>
    </row>
    <row r="14" spans="1:5">
      <c r="A14" s="3" t="s">
        <v>3</v>
      </c>
      <c r="B14" t="s">
        <v>67</v>
      </c>
      <c r="D14" s="3" t="s">
        <v>5</v>
      </c>
      <c r="E14" t="s">
        <v>68</v>
      </c>
    </row>
    <row r="15" spans="1:5">
      <c r="A15" t="s">
        <v>19</v>
      </c>
      <c r="B15" s="4">
        <v>5.666666666666667</v>
      </c>
      <c r="D15" t="s">
        <v>16</v>
      </c>
      <c r="E15" s="4">
        <v>7</v>
      </c>
    </row>
    <row r="16" spans="1:5">
      <c r="A16" t="s">
        <v>23</v>
      </c>
      <c r="B16" s="4">
        <v>3.5</v>
      </c>
      <c r="D16" t="s">
        <v>20</v>
      </c>
      <c r="E16" s="4">
        <v>6</v>
      </c>
    </row>
    <row r="17" spans="1:5">
      <c r="A17" t="s">
        <v>14</v>
      </c>
      <c r="B17" s="4">
        <v>4</v>
      </c>
      <c r="D17" t="s">
        <v>11</v>
      </c>
      <c r="E17" s="4">
        <v>6</v>
      </c>
    </row>
    <row r="18" spans="1:5">
      <c r="A18" t="s">
        <v>29</v>
      </c>
      <c r="B18" s="4">
        <v>7.5</v>
      </c>
      <c r="D18" t="s">
        <v>66</v>
      </c>
      <c r="E18" s="4">
        <v>19</v>
      </c>
    </row>
    <row r="19" spans="1:5">
      <c r="A19" t="s">
        <v>9</v>
      </c>
      <c r="B19" s="4">
        <v>4.333333333333333</v>
      </c>
    </row>
    <row r="20" spans="1:5">
      <c r="A20" t="s">
        <v>35</v>
      </c>
      <c r="B20" s="4">
        <v>1</v>
      </c>
    </row>
    <row r="21" spans="1:5">
      <c r="A21" t="s">
        <v>26</v>
      </c>
      <c r="B21" s="4">
        <v>4</v>
      </c>
    </row>
    <row r="22" spans="1:5">
      <c r="A22" t="s">
        <v>32</v>
      </c>
      <c r="B22" s="4">
        <v>3.5</v>
      </c>
    </row>
    <row r="23" spans="1:5">
      <c r="A23" t="s">
        <v>66</v>
      </c>
      <c r="B23" s="4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2026-04-11T02:41:41Z</dcterms:created>
  <dcterms:modified xsi:type="dcterms:W3CDTF">2026-04-20T13:13:36Z</dcterms:modified>
  <cp:category/>
  <cp:contentStatus/>
</cp:coreProperties>
</file>